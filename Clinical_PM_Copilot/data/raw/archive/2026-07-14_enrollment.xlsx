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iyuan/Downloads/项目管理类/自动化项目管理脚本/Clinical_PM_Copilot/data/"/>
    </mc:Choice>
  </mc:AlternateContent>
  <xr:revisionPtr revIDLastSave="0" documentId="13_ncr:1_{C93657CF-EE4B-7A45-969E-555C8E02071A}" xr6:coauthVersionLast="47" xr6:coauthVersionMax="47" xr10:uidLastSave="{00000000-0000-0000-0000-000000000000}"/>
  <bookViews>
    <workbookView xWindow="740" yWindow="1000" windowWidth="27700" windowHeight="15800" xr2:uid="{B9121339-C7F1-054C-90BE-DAD86F394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<sst xmlns="http://schemas.openxmlformats.org/spreadsheetml/2006/main" count="402" uniqueCount="192">
  <si>
    <t>中心编号</t>
  </si>
  <si>
    <t>中心名称</t>
  </si>
  <si>
    <t>计划入组</t>
  </si>
  <si>
    <t>累计筛选</t>
  </si>
  <si>
    <t>累计入组</t>
  </si>
  <si>
    <t>本周新增</t>
  </si>
  <si>
    <t>完成率</t>
  </si>
  <si>
    <t>首例入组日期</t>
  </si>
  <si>
    <t>中心状态</t>
  </si>
  <si>
    <t>风险等级</t>
  </si>
  <si>
    <t>备注</t>
  </si>
  <si>
    <t>S001</t>
  </si>
  <si>
    <t>北京协和医院</t>
  </si>
  <si>
    <t>入组中</t>
  </si>
  <si>
    <t>低</t>
  </si>
  <si>
    <t>接近完成</t>
  </si>
  <si>
    <t>S002</t>
  </si>
  <si>
    <t>中山医院</t>
  </si>
  <si>
    <t>高</t>
  </si>
  <si>
    <t>连续3周无新增，PI需跟进</t>
  </si>
  <si>
    <t>S003</t>
  </si>
  <si>
    <t>中山大学肿瘤中心</t>
  </si>
  <si>
    <t>入组完成</t>
  </si>
  <si>
    <t>已达成目标</t>
  </si>
  <si>
    <t>S004</t>
  </si>
  <si>
    <t>华西医院</t>
  </si>
  <si>
    <t>已启动</t>
  </si>
  <si>
    <t>极高</t>
  </si>
  <si>
    <t>启动后入组极慢，建议稽查</t>
  </si>
  <si>
    <t>S005</t>
  </si>
  <si>
    <t>同济医院</t>
  </si>
  <si>
    <t>-</t>
  </si>
  <si>
    <t>S006</t>
  </si>
  <si>
    <t>浙大一院</t>
  </si>
  <si>
    <t>S007</t>
  </si>
  <si>
    <t>医科院肿瘤医院</t>
  </si>
  <si>
    <t>竞争性试验影响</t>
  </si>
  <si>
    <t>S008</t>
  </si>
  <si>
    <t>瑞金医院</t>
  </si>
  <si>
    <t>超计划完成</t>
  </si>
  <si>
    <t>S009</t>
  </si>
  <si>
    <t>山东省肿瘤医院</t>
  </si>
  <si>
    <t>中</t>
  </si>
  <si>
    <t>S010</t>
  </si>
  <si>
    <t>河南省肿瘤医院</t>
  </si>
  <si>
    <t>近期PI出差</t>
  </si>
  <si>
    <t>S011</t>
  </si>
  <si>
    <t>湖南省肿瘤医院</t>
  </si>
  <si>
    <t>S012</t>
  </si>
  <si>
    <t>安徽省立医院</t>
  </si>
  <si>
    <t>S013</t>
  </si>
  <si>
    <t>福建省肿瘤医院</t>
  </si>
  <si>
    <t>入组意愿不足</t>
  </si>
  <si>
    <t>S014</t>
  </si>
  <si>
    <t>河北省肿瘤医院</t>
  </si>
  <si>
    <t>S015</t>
  </si>
  <si>
    <t>吉林省肿瘤医院</t>
  </si>
  <si>
    <t>接近目标</t>
  </si>
  <si>
    <t>北京</t>
  </si>
  <si>
    <t>复旦大学附属中山医院</t>
  </si>
  <si>
    <t>连续2周无新增</t>
  </si>
  <si>
    <t>上海</t>
  </si>
  <si>
    <t>中山大学肿瘤防治中心</t>
  </si>
  <si>
    <t>广东</t>
  </si>
  <si>
    <t>四川大学华西医院</t>
  </si>
  <si>
    <t>入组极慢，建议稽查</t>
  </si>
  <si>
    <t>四川</t>
  </si>
  <si>
    <t>华中科技大学同济医学院附属同济医院</t>
  </si>
  <si>
    <t>湖北</t>
  </si>
  <si>
    <t>浙江大学医学院附属第一医院</t>
  </si>
  <si>
    <t>浙江</t>
  </si>
  <si>
    <t>中国医学科学院肿瘤医院</t>
  </si>
  <si>
    <t>上海交通大学医学院附属瑞金医院</t>
  </si>
  <si>
    <t>超额完成</t>
  </si>
  <si>
    <t>山东</t>
  </si>
  <si>
    <t>PI近期出差</t>
  </si>
  <si>
    <t>河南</t>
  </si>
  <si>
    <t>湖南</t>
  </si>
  <si>
    <t>安徽</t>
  </si>
  <si>
    <t>福建</t>
  </si>
  <si>
    <t>河北医科大学第四医院</t>
  </si>
  <si>
    <t>河北</t>
  </si>
  <si>
    <t>吉林</t>
  </si>
  <si>
    <t>S016</t>
  </si>
  <si>
    <t>江苏省人民医院</t>
  </si>
  <si>
    <t>江苏</t>
  </si>
  <si>
    <t>S017</t>
  </si>
  <si>
    <t>辽宁省肿瘤医院</t>
  </si>
  <si>
    <t>辽宁</t>
  </si>
  <si>
    <t>S018</t>
  </si>
  <si>
    <t>陕西省肿瘤医院</t>
  </si>
  <si>
    <t>陕西</t>
  </si>
  <si>
    <t>S019</t>
  </si>
  <si>
    <t>云南省肿瘤医院</t>
  </si>
  <si>
    <t>云南</t>
  </si>
  <si>
    <t>S020</t>
  </si>
  <si>
    <t>重庆大学附属肿瘤医院</t>
  </si>
  <si>
    <t>重庆</t>
  </si>
  <si>
    <t>S021</t>
  </si>
  <si>
    <t>天津市肿瘤医院</t>
  </si>
  <si>
    <t>天津</t>
  </si>
  <si>
    <t>S022</t>
  </si>
  <si>
    <t>新疆医科大学附属肿瘤医院</t>
  </si>
  <si>
    <t>启动延迟</t>
  </si>
  <si>
    <t>新疆</t>
  </si>
  <si>
    <t>S023</t>
  </si>
  <si>
    <t>江西省肿瘤医院</t>
  </si>
  <si>
    <t>江西</t>
  </si>
  <si>
    <t>S024</t>
  </si>
  <si>
    <t>山西省肿瘤医院</t>
  </si>
  <si>
    <t>山西</t>
  </si>
  <si>
    <t>S025</t>
  </si>
  <si>
    <t>贵州省肿瘤医院</t>
  </si>
  <si>
    <t>贵州</t>
  </si>
  <si>
    <t>S026</t>
  </si>
  <si>
    <t>甘肃省肿瘤医院</t>
  </si>
  <si>
    <t>甘肃</t>
  </si>
  <si>
    <t>S027</t>
  </si>
  <si>
    <t>海南省人民医院</t>
  </si>
  <si>
    <t>海南</t>
  </si>
  <si>
    <t>S028</t>
  </si>
  <si>
    <t>内蒙古自治区肿瘤医院</t>
  </si>
  <si>
    <t>入组缓慢</t>
  </si>
  <si>
    <t>内蒙古</t>
  </si>
  <si>
    <t>S029</t>
  </si>
  <si>
    <t>宁夏医科大学总医院</t>
  </si>
  <si>
    <t>宁夏</t>
  </si>
  <si>
    <t>S030</t>
  </si>
  <si>
    <t>青海省人民医院</t>
  </si>
  <si>
    <t>竞争项目多</t>
  </si>
  <si>
    <t>青海</t>
  </si>
  <si>
    <r>
      <rPr>
        <sz val="15"/>
        <color rgb="FF0F1115"/>
        <rFont val="等线"/>
        <family val="2"/>
        <charset val="134"/>
      </rPr>
      <t>省份</t>
    </r>
    <phoneticPr fontId="2" type="noConversion"/>
  </si>
  <si>
    <t>S101</t>
  </si>
  <si>
    <t>首尔国立大学医院</t>
  </si>
  <si>
    <t>韩国</t>
  </si>
  <si>
    <t>S102</t>
  </si>
  <si>
    <t>三星医疗中心</t>
  </si>
  <si>
    <t>S103</t>
  </si>
  <si>
    <t>东京大学医学部附属医院</t>
  </si>
  <si>
    <t>表现良好</t>
  </si>
  <si>
    <t>日本</t>
  </si>
  <si>
    <t>S104</t>
  </si>
  <si>
    <t>日本国立癌症研究中心</t>
  </si>
  <si>
    <t>S105</t>
  </si>
  <si>
    <t>台大医院</t>
  </si>
  <si>
    <t>台湾</t>
  </si>
  <si>
    <t>S106</t>
  </si>
  <si>
    <t>香港大学深圳医院</t>
  </si>
  <si>
    <t>香港</t>
  </si>
  <si>
    <t>S107</t>
  </si>
  <si>
    <t>新加坡国立大学医院</t>
  </si>
  <si>
    <t>新加坡</t>
  </si>
  <si>
    <t>S108</t>
  </si>
  <si>
    <t>麻省总医院</t>
  </si>
  <si>
    <t>竞争激烈</t>
  </si>
  <si>
    <t>美国</t>
  </si>
  <si>
    <t>S109</t>
  </si>
  <si>
    <t>MD安德森癌症中心</t>
  </si>
  <si>
    <t>S110</t>
  </si>
  <si>
    <t>皇家马斯登医院</t>
  </si>
  <si>
    <t>英国</t>
  </si>
  <si>
    <t>S111</t>
  </si>
  <si>
    <t>古斯塔夫·鲁西研究所</t>
  </si>
  <si>
    <t>法国</t>
  </si>
  <si>
    <t>S112</t>
  </si>
  <si>
    <t>海德堡大学医院</t>
  </si>
  <si>
    <t>德国</t>
  </si>
  <si>
    <t>S113</t>
  </si>
  <si>
    <t>多伦多综合医院</t>
  </si>
  <si>
    <t>加拿大</t>
  </si>
  <si>
    <t>S114</t>
  </si>
  <si>
    <t>彼得·麦卡勒姆癌症中心</t>
  </si>
  <si>
    <t>启动较慢</t>
  </si>
  <si>
    <t>澳大利亚</t>
  </si>
  <si>
    <t>S115</t>
  </si>
  <si>
    <t>马来亚大学医学中心</t>
  </si>
  <si>
    <t>马来西亚</t>
  </si>
  <si>
    <t>S116</t>
  </si>
  <si>
    <t>朱拉隆功国王纪念医院</t>
  </si>
  <si>
    <t>泰国</t>
  </si>
  <si>
    <t>S117</t>
  </si>
  <si>
    <t>胡志明市肿瘤医院</t>
  </si>
  <si>
    <t>越南</t>
  </si>
  <si>
    <t>S118</t>
  </si>
  <si>
    <t>全印医学科学学院</t>
  </si>
  <si>
    <t>伦理延迟</t>
  </si>
  <si>
    <t>印度</t>
  </si>
  <si>
    <t>S119</t>
  </si>
  <si>
    <t>阿姆斯特丹大学医学中心</t>
  </si>
  <si>
    <t>荷兰</t>
  </si>
  <si>
    <t>S120</t>
  </si>
  <si>
    <t>台湾大学医学院附设癌医中心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</si>
</sst>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5"/>
      <color rgb="FF0F1115"/>
      <name val="Helvetica Neue"/>
      <family val="2"/>
    </font>
    <font>
      <sz val="9"/>
      <name val="等线"/>
      <family val="2"/>
      <charset val="134"/>
      <scheme val="minor"/>
    </font>
    <font>
      <sz val="15"/>
      <color rgb="FF0F1115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A1FE-2996-9F4B-BEF4-8138E64E2C25}">
  <dimension ref="A1:L66"/>
  <sheetViews>
    <sheetView tabSelected="1" topLeftCell="A25" workbookViewId="0">
      <selection activeCell="G46" sqref="G46:G66"/>
    </sheetView>
  </sheetViews>
  <sheetFormatPr baseColWidth="10" defaultRowHeight="16"/>
  <cols>
    <col min="1" max="1" width="19" customWidth="1"/>
    <col min="2" max="2" width="29.1640625" customWidth="1"/>
    <col min="7" max="7" width="20.83203125" customWidth="1"/>
    <col min="8" max="8" width="24" customWidth="1"/>
    <col min="11" max="11" width="37.83203125" customWidth="1"/>
  </cols>
  <sheetData>
    <row r="1" spans="1:12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131</v>
      </c>
    </row>
    <row r="2" spans="1:12" ht="19">
      <c r="A2" s="1" t="s">
        <v>11</v>
      </c>
      <c r="B2" s="1" t="s">
        <v>12</v>
      </c>
      <c r="C2" s="1">
        <v>15</v>
      </c>
      <c r="D2" s="1">
        <v>18</v>
      </c>
      <c r="E2" s="1">
        <v>14</v>
      </c>
      <c r="F2" s="1">
        <v>1</v>
      </c>
      <c r="G2" s="2">
        <f>E2/C2</f>
        <v>0.93333333333333335</v>
      </c>
      <c r="H2" s="3">
        <v>45809</v>
      </c>
      <c r="I2" s="1" t="s">
        <v>13</v>
      </c>
      <c r="J2" s="1" t="s">
        <v>14</v>
      </c>
      <c r="K2" s="1" t="s">
        <v>15</v>
      </c>
      <c r="L2" s="1" t="s">
        <v>66</v>
      </c>
    </row>
    <row r="3" spans="1:12" ht="19">
      <c r="A3" s="1" t="s">
        <v>16</v>
      </c>
      <c r="B3" s="1" t="s">
        <v>17</v>
      </c>
      <c r="C3" s="1">
        <v>12</v>
      </c>
      <c r="D3" s="1">
        <v>10</v>
      </c>
      <c r="E3" s="1">
        <v>6</v>
      </c>
      <c r="F3" s="1">
        <v>0</v>
      </c>
      <c r="G3" s="2">
        <f t="shared" ref="G3:G66" si="0">E3/C3</f>
        <v>0.5</v>
      </c>
      <c r="H3" s="3">
        <v>45823</v>
      </c>
      <c r="I3" s="1" t="s">
        <v>13</v>
      </c>
      <c r="J3" s="1" t="s">
        <v>18</v>
      </c>
      <c r="K3" s="1" t="s">
        <v>19</v>
      </c>
      <c r="L3" s="1" t="s">
        <v>68</v>
      </c>
    </row>
    <row r="4" spans="1:12" ht="19">
      <c r="A4" s="1" t="s">
        <v>20</v>
      </c>
      <c r="B4" s="1" t="s">
        <v>21</v>
      </c>
      <c r="C4" s="1">
        <v>10</v>
      </c>
      <c r="D4" s="1">
        <v>12</v>
      </c>
      <c r="E4" s="1">
        <v>10</v>
      </c>
      <c r="F4" s="1">
        <v>0</v>
      </c>
      <c r="G4" s="2">
        <f t="shared" si="0"/>
        <v>1</v>
      </c>
      <c r="H4" s="3">
        <v>45839</v>
      </c>
      <c r="I4" s="1" t="s">
        <v>22</v>
      </c>
      <c r="J4" s="1" t="s">
        <v>14</v>
      </c>
      <c r="K4" s="1" t="s">
        <v>23</v>
      </c>
      <c r="L4" s="1" t="s">
        <v>70</v>
      </c>
    </row>
    <row r="5" spans="1:12" ht="19">
      <c r="A5" s="1" t="s">
        <v>24</v>
      </c>
      <c r="B5" s="1" t="s">
        <v>25</v>
      </c>
      <c r="C5" s="1">
        <v>14</v>
      </c>
      <c r="D5" s="1">
        <v>5</v>
      </c>
      <c r="E5" s="1">
        <v>2</v>
      </c>
      <c r="F5" s="1">
        <v>0</v>
      </c>
      <c r="G5" s="2">
        <f t="shared" si="0"/>
        <v>0.14285714285714285</v>
      </c>
      <c r="H5" s="3">
        <v>45889</v>
      </c>
      <c r="I5" s="1" t="s">
        <v>26</v>
      </c>
      <c r="J5" s="1" t="s">
        <v>27</v>
      </c>
      <c r="K5" s="1" t="s">
        <v>28</v>
      </c>
      <c r="L5" s="1" t="s">
        <v>58</v>
      </c>
    </row>
    <row r="6" spans="1:12" ht="19">
      <c r="A6" s="1" t="s">
        <v>29</v>
      </c>
      <c r="B6" s="1" t="s">
        <v>30</v>
      </c>
      <c r="C6" s="1">
        <v>8</v>
      </c>
      <c r="D6" s="1">
        <v>9</v>
      </c>
      <c r="E6" s="1">
        <v>8</v>
      </c>
      <c r="F6" s="1">
        <v>1</v>
      </c>
      <c r="G6" s="2">
        <f t="shared" si="0"/>
        <v>1</v>
      </c>
      <c r="H6" s="3">
        <v>45848</v>
      </c>
      <c r="I6" s="1" t="s">
        <v>22</v>
      </c>
      <c r="J6" s="1" t="s">
        <v>14</v>
      </c>
      <c r="K6" s="1" t="s">
        <v>31</v>
      </c>
      <c r="L6" s="1" t="s">
        <v>61</v>
      </c>
    </row>
    <row r="7" spans="1:12" ht="19">
      <c r="A7" s="1" t="s">
        <v>32</v>
      </c>
      <c r="B7" s="1" t="s">
        <v>33</v>
      </c>
      <c r="C7" s="1">
        <v>16</v>
      </c>
      <c r="D7" s="1">
        <v>18</v>
      </c>
      <c r="E7" s="1">
        <v>15</v>
      </c>
      <c r="F7" s="1">
        <v>2</v>
      </c>
      <c r="G7" s="2">
        <f t="shared" si="0"/>
        <v>0.9375</v>
      </c>
      <c r="H7" s="3">
        <v>45828</v>
      </c>
      <c r="I7" s="1" t="s">
        <v>13</v>
      </c>
      <c r="J7" s="1" t="s">
        <v>14</v>
      </c>
      <c r="K7" s="1" t="s">
        <v>31</v>
      </c>
      <c r="L7" s="1" t="s">
        <v>74</v>
      </c>
    </row>
    <row r="8" spans="1:12" ht="19">
      <c r="A8" s="1" t="s">
        <v>34</v>
      </c>
      <c r="B8" s="1" t="s">
        <v>35</v>
      </c>
      <c r="C8" s="1">
        <v>12</v>
      </c>
      <c r="D8" s="1">
        <v>7</v>
      </c>
      <c r="E8" s="1">
        <v>4</v>
      </c>
      <c r="F8" s="1">
        <v>0</v>
      </c>
      <c r="G8" s="2">
        <f t="shared" si="0"/>
        <v>0.33333333333333331</v>
      </c>
      <c r="H8" s="3">
        <v>45901</v>
      </c>
      <c r="I8" s="1" t="s">
        <v>13</v>
      </c>
      <c r="J8" s="1" t="s">
        <v>18</v>
      </c>
      <c r="K8" s="1" t="s">
        <v>36</v>
      </c>
      <c r="L8" s="1" t="s">
        <v>76</v>
      </c>
    </row>
    <row r="9" spans="1:12" ht="19">
      <c r="A9" s="1" t="s">
        <v>37</v>
      </c>
      <c r="B9" s="1" t="s">
        <v>38</v>
      </c>
      <c r="C9" s="1">
        <v>10</v>
      </c>
      <c r="D9" s="1">
        <v>13</v>
      </c>
      <c r="E9" s="1">
        <v>11</v>
      </c>
      <c r="F9" s="1">
        <v>1</v>
      </c>
      <c r="G9" s="2">
        <f t="shared" si="0"/>
        <v>1.1000000000000001</v>
      </c>
      <c r="H9" s="3">
        <v>45853</v>
      </c>
      <c r="I9" s="1" t="s">
        <v>22</v>
      </c>
      <c r="J9" s="1" t="s">
        <v>14</v>
      </c>
      <c r="K9" s="1" t="s">
        <v>39</v>
      </c>
      <c r="L9" s="1" t="s">
        <v>77</v>
      </c>
    </row>
    <row r="10" spans="1:12" ht="19">
      <c r="A10" s="1" t="s">
        <v>40</v>
      </c>
      <c r="B10" s="1" t="s">
        <v>41</v>
      </c>
      <c r="C10" s="1">
        <v>15</v>
      </c>
      <c r="D10" s="1">
        <v>16</v>
      </c>
      <c r="E10" s="1">
        <v>13</v>
      </c>
      <c r="F10" s="1">
        <v>1</v>
      </c>
      <c r="G10" s="2">
        <f t="shared" si="0"/>
        <v>0.8666666666666667</v>
      </c>
      <c r="H10" s="3">
        <v>45870</v>
      </c>
      <c r="I10" s="1" t="s">
        <v>13</v>
      </c>
      <c r="J10" s="1" t="s">
        <v>42</v>
      </c>
      <c r="K10" s="1" t="s">
        <v>31</v>
      </c>
      <c r="L10" s="1" t="s">
        <v>78</v>
      </c>
    </row>
    <row r="11" spans="1:12" ht="19">
      <c r="A11" s="1" t="s">
        <v>43</v>
      </c>
      <c r="B11" s="1" t="s">
        <v>44</v>
      </c>
      <c r="C11" s="1">
        <v>13</v>
      </c>
      <c r="D11" s="1">
        <v>10</v>
      </c>
      <c r="E11" s="1">
        <v>9</v>
      </c>
      <c r="F11" s="1">
        <v>0</v>
      </c>
      <c r="G11" s="2">
        <f t="shared" si="0"/>
        <v>0.69230769230769229</v>
      </c>
      <c r="H11" s="3">
        <v>45879</v>
      </c>
      <c r="I11" s="1" t="s">
        <v>13</v>
      </c>
      <c r="J11" s="1" t="s">
        <v>42</v>
      </c>
      <c r="K11" s="1" t="s">
        <v>45</v>
      </c>
      <c r="L11" s="1" t="s">
        <v>79</v>
      </c>
    </row>
    <row r="12" spans="1:12" ht="19">
      <c r="A12" s="1" t="s">
        <v>46</v>
      </c>
      <c r="B12" s="1" t="s">
        <v>47</v>
      </c>
      <c r="C12" s="1">
        <v>11</v>
      </c>
      <c r="D12" s="1">
        <v>8</v>
      </c>
      <c r="E12" s="1">
        <v>7</v>
      </c>
      <c r="F12" s="1">
        <v>0</v>
      </c>
      <c r="G12" s="2">
        <f t="shared" si="0"/>
        <v>0.63636363636363635</v>
      </c>
      <c r="H12" s="3">
        <v>45905</v>
      </c>
      <c r="I12" s="1" t="s">
        <v>13</v>
      </c>
      <c r="J12" s="1" t="s">
        <v>42</v>
      </c>
      <c r="K12" s="1" t="s">
        <v>31</v>
      </c>
      <c r="L12" s="1" t="s">
        <v>81</v>
      </c>
    </row>
    <row r="13" spans="1:12" ht="19">
      <c r="A13" s="1" t="s">
        <v>48</v>
      </c>
      <c r="B13" s="1" t="s">
        <v>49</v>
      </c>
      <c r="C13" s="1">
        <v>9</v>
      </c>
      <c r="D13" s="1">
        <v>10</v>
      </c>
      <c r="E13" s="1">
        <v>9</v>
      </c>
      <c r="F13" s="1">
        <v>2</v>
      </c>
      <c r="G13" s="2">
        <f t="shared" si="0"/>
        <v>1</v>
      </c>
      <c r="H13" s="3">
        <v>45920</v>
      </c>
      <c r="I13" s="1" t="s">
        <v>22</v>
      </c>
      <c r="J13" s="1" t="s">
        <v>14</v>
      </c>
      <c r="K13" s="1" t="s">
        <v>31</v>
      </c>
      <c r="L13" s="1" t="s">
        <v>82</v>
      </c>
    </row>
    <row r="14" spans="1:12" ht="19">
      <c r="A14" s="1" t="s">
        <v>50</v>
      </c>
      <c r="B14" s="1" t="s">
        <v>51</v>
      </c>
      <c r="C14" s="1">
        <v>14</v>
      </c>
      <c r="D14" s="1">
        <v>5</v>
      </c>
      <c r="E14" s="1">
        <v>3</v>
      </c>
      <c r="F14" s="1">
        <v>0</v>
      </c>
      <c r="G14" s="2">
        <f t="shared" si="0"/>
        <v>0.21428571428571427</v>
      </c>
      <c r="H14" s="3">
        <v>45940</v>
      </c>
      <c r="I14" s="1" t="s">
        <v>26</v>
      </c>
      <c r="J14" s="1" t="s">
        <v>18</v>
      </c>
      <c r="K14" s="1" t="s">
        <v>52</v>
      </c>
      <c r="L14" s="1" t="s">
        <v>85</v>
      </c>
    </row>
    <row r="15" spans="1:12" ht="19">
      <c r="A15" s="1" t="s">
        <v>53</v>
      </c>
      <c r="B15" s="1" t="s">
        <v>54</v>
      </c>
      <c r="C15" s="1">
        <v>12</v>
      </c>
      <c r="D15" s="1">
        <v>13</v>
      </c>
      <c r="E15" s="1">
        <v>11</v>
      </c>
      <c r="F15" s="1">
        <v>1</v>
      </c>
      <c r="G15" s="2">
        <f t="shared" si="0"/>
        <v>0.91666666666666663</v>
      </c>
      <c r="H15" s="3">
        <v>45894</v>
      </c>
      <c r="I15" s="1" t="s">
        <v>13</v>
      </c>
      <c r="J15" s="1" t="s">
        <v>14</v>
      </c>
      <c r="K15" s="1" t="s">
        <v>31</v>
      </c>
      <c r="L15" s="1" t="s">
        <v>88</v>
      </c>
    </row>
    <row r="16" spans="1:12" ht="19">
      <c r="A16" s="1" t="s">
        <v>55</v>
      </c>
      <c r="B16" s="1" t="s">
        <v>56</v>
      </c>
      <c r="C16" s="1">
        <v>10</v>
      </c>
      <c r="D16" s="1">
        <v>9</v>
      </c>
      <c r="E16" s="1">
        <v>8</v>
      </c>
      <c r="F16" s="1">
        <v>1</v>
      </c>
      <c r="G16" s="2">
        <f t="shared" si="0"/>
        <v>0.8</v>
      </c>
      <c r="H16" s="3">
        <v>45915</v>
      </c>
      <c r="I16" s="1" t="s">
        <v>13</v>
      </c>
      <c r="J16" s="1" t="s">
        <v>42</v>
      </c>
      <c r="K16" s="1" t="s">
        <v>31</v>
      </c>
      <c r="L16" s="1" t="s">
        <v>91</v>
      </c>
    </row>
    <row r="17" spans="1:12" ht="19">
      <c r="A17" s="1" t="s">
        <v>11</v>
      </c>
      <c r="B17" s="1" t="s">
        <v>12</v>
      </c>
      <c r="C17" s="1">
        <v>20</v>
      </c>
      <c r="D17" s="1">
        <v>22</v>
      </c>
      <c r="E17" s="1">
        <v>19</v>
      </c>
      <c r="F17" s="1">
        <v>1</v>
      </c>
      <c r="G17" s="2">
        <f t="shared" si="0"/>
        <v>0.95</v>
      </c>
      <c r="H17" s="3">
        <v>45672</v>
      </c>
      <c r="I17" s="1" t="s">
        <v>13</v>
      </c>
      <c r="J17" s="1" t="s">
        <v>14</v>
      </c>
      <c r="K17" s="1" t="s">
        <v>57</v>
      </c>
      <c r="L17" s="1" t="s">
        <v>94</v>
      </c>
    </row>
    <row r="18" spans="1:12" ht="19">
      <c r="A18" s="1" t="s">
        <v>16</v>
      </c>
      <c r="B18" s="1" t="s">
        <v>59</v>
      </c>
      <c r="C18" s="1">
        <v>18</v>
      </c>
      <c r="D18" s="1">
        <v>16</v>
      </c>
      <c r="E18" s="1">
        <v>14</v>
      </c>
      <c r="F18" s="1">
        <v>0</v>
      </c>
      <c r="G18" s="2">
        <f t="shared" si="0"/>
        <v>0.77777777777777779</v>
      </c>
      <c r="H18" s="3">
        <v>45698</v>
      </c>
      <c r="I18" s="1" t="s">
        <v>13</v>
      </c>
      <c r="J18" s="1" t="s">
        <v>18</v>
      </c>
      <c r="K18" s="1" t="s">
        <v>60</v>
      </c>
      <c r="L18" s="1" t="s">
        <v>61</v>
      </c>
    </row>
    <row r="19" spans="1:12" ht="19">
      <c r="A19" s="1" t="s">
        <v>20</v>
      </c>
      <c r="B19" s="1" t="s">
        <v>62</v>
      </c>
      <c r="C19" s="1">
        <v>15</v>
      </c>
      <c r="D19" s="1">
        <v>17</v>
      </c>
      <c r="E19" s="1">
        <v>15</v>
      </c>
      <c r="F19" s="1">
        <v>0</v>
      </c>
      <c r="G19" s="2">
        <f t="shared" si="0"/>
        <v>1</v>
      </c>
      <c r="H19" s="3">
        <v>45717</v>
      </c>
      <c r="I19" s="1" t="s">
        <v>22</v>
      </c>
      <c r="J19" s="1" t="s">
        <v>14</v>
      </c>
      <c r="K19" s="1" t="s">
        <v>31</v>
      </c>
      <c r="L19" s="1" t="s">
        <v>63</v>
      </c>
    </row>
    <row r="20" spans="1:12" ht="19">
      <c r="A20" s="1" t="s">
        <v>24</v>
      </c>
      <c r="B20" s="1" t="s">
        <v>64</v>
      </c>
      <c r="C20" s="1">
        <v>14</v>
      </c>
      <c r="D20" s="1">
        <v>5</v>
      </c>
      <c r="E20" s="1">
        <v>3</v>
      </c>
      <c r="F20" s="1">
        <v>0</v>
      </c>
      <c r="G20" s="2">
        <f t="shared" si="0"/>
        <v>0.21428571428571427</v>
      </c>
      <c r="H20" s="3">
        <v>45889</v>
      </c>
      <c r="I20" s="1" t="s">
        <v>26</v>
      </c>
      <c r="J20" s="1" t="s">
        <v>27</v>
      </c>
      <c r="K20" s="1" t="s">
        <v>65</v>
      </c>
      <c r="L20" s="1" t="s">
        <v>66</v>
      </c>
    </row>
    <row r="21" spans="1:12" ht="19">
      <c r="A21" s="1" t="s">
        <v>29</v>
      </c>
      <c r="B21" s="1" t="s">
        <v>67</v>
      </c>
      <c r="C21" s="1">
        <v>12</v>
      </c>
      <c r="D21" s="1">
        <v>13</v>
      </c>
      <c r="E21" s="1">
        <v>12</v>
      </c>
      <c r="F21" s="1">
        <v>1</v>
      </c>
      <c r="G21" s="2">
        <f t="shared" si="0"/>
        <v>1</v>
      </c>
      <c r="H21" s="3">
        <v>45757</v>
      </c>
      <c r="I21" s="1" t="s">
        <v>22</v>
      </c>
      <c r="J21" s="1" t="s">
        <v>14</v>
      </c>
      <c r="K21" s="1" t="s">
        <v>31</v>
      </c>
      <c r="L21" s="1" t="s">
        <v>68</v>
      </c>
    </row>
    <row r="22" spans="1:12" ht="19">
      <c r="A22" s="1" t="s">
        <v>32</v>
      </c>
      <c r="B22" s="1" t="s">
        <v>69</v>
      </c>
      <c r="C22" s="1">
        <v>16</v>
      </c>
      <c r="D22" s="1">
        <v>19</v>
      </c>
      <c r="E22" s="1">
        <v>16</v>
      </c>
      <c r="F22" s="1">
        <v>2</v>
      </c>
      <c r="G22" s="2">
        <f t="shared" si="0"/>
        <v>1</v>
      </c>
      <c r="H22" s="3">
        <v>45736</v>
      </c>
      <c r="I22" s="1" t="s">
        <v>13</v>
      </c>
      <c r="J22" s="1" t="s">
        <v>14</v>
      </c>
      <c r="K22" s="1" t="s">
        <v>31</v>
      </c>
      <c r="L22" s="1" t="s">
        <v>70</v>
      </c>
    </row>
    <row r="23" spans="1:12" ht="19">
      <c r="A23" s="1" t="s">
        <v>34</v>
      </c>
      <c r="B23" s="1" t="s">
        <v>71</v>
      </c>
      <c r="C23" s="1">
        <v>13</v>
      </c>
      <c r="D23" s="1">
        <v>8</v>
      </c>
      <c r="E23" s="1">
        <v>5</v>
      </c>
      <c r="F23" s="1">
        <v>0</v>
      </c>
      <c r="G23" s="2">
        <f t="shared" si="0"/>
        <v>0.38461538461538464</v>
      </c>
      <c r="H23" s="3">
        <v>45901</v>
      </c>
      <c r="I23" s="1" t="s">
        <v>13</v>
      </c>
      <c r="J23" s="1" t="s">
        <v>18</v>
      </c>
      <c r="K23" s="1" t="s">
        <v>36</v>
      </c>
      <c r="L23" s="1" t="s">
        <v>58</v>
      </c>
    </row>
    <row r="24" spans="1:12" ht="19">
      <c r="A24" s="1" t="s">
        <v>37</v>
      </c>
      <c r="B24" s="1" t="s">
        <v>72</v>
      </c>
      <c r="C24" s="1">
        <v>11</v>
      </c>
      <c r="D24" s="1">
        <v>14</v>
      </c>
      <c r="E24" s="1">
        <v>11</v>
      </c>
      <c r="F24" s="1">
        <v>1</v>
      </c>
      <c r="G24" s="2">
        <f t="shared" si="0"/>
        <v>1</v>
      </c>
      <c r="H24" s="3">
        <v>45792</v>
      </c>
      <c r="I24" s="1" t="s">
        <v>22</v>
      </c>
      <c r="J24" s="1" t="s">
        <v>14</v>
      </c>
      <c r="K24" s="1" t="s">
        <v>73</v>
      </c>
      <c r="L24" s="1" t="s">
        <v>61</v>
      </c>
    </row>
    <row r="25" spans="1:12" ht="19">
      <c r="A25" s="1" t="s">
        <v>40</v>
      </c>
      <c r="B25" s="1" t="s">
        <v>41</v>
      </c>
      <c r="C25" s="1">
        <v>15</v>
      </c>
      <c r="D25" s="1">
        <v>16</v>
      </c>
      <c r="E25" s="1">
        <v>13</v>
      </c>
      <c r="F25" s="1">
        <v>1</v>
      </c>
      <c r="G25" s="2">
        <f t="shared" si="0"/>
        <v>0.8666666666666667</v>
      </c>
      <c r="H25" s="3">
        <v>45809</v>
      </c>
      <c r="I25" s="1" t="s">
        <v>13</v>
      </c>
      <c r="J25" s="1" t="s">
        <v>42</v>
      </c>
      <c r="K25" s="1" t="s">
        <v>31</v>
      </c>
      <c r="L25" s="1" t="s">
        <v>74</v>
      </c>
    </row>
    <row r="26" spans="1:12" ht="19">
      <c r="A26" s="1" t="s">
        <v>43</v>
      </c>
      <c r="B26" s="1" t="s">
        <v>44</v>
      </c>
      <c r="C26" s="1">
        <v>14</v>
      </c>
      <c r="D26" s="1">
        <v>11</v>
      </c>
      <c r="E26" s="1">
        <v>10</v>
      </c>
      <c r="F26" s="1">
        <v>0</v>
      </c>
      <c r="G26" s="2">
        <f t="shared" si="0"/>
        <v>0.7142857142857143</v>
      </c>
      <c r="H26" s="3">
        <v>45848</v>
      </c>
      <c r="I26" s="1" t="s">
        <v>13</v>
      </c>
      <c r="J26" s="1" t="s">
        <v>42</v>
      </c>
      <c r="K26" s="1" t="s">
        <v>75</v>
      </c>
      <c r="L26" s="1" t="s">
        <v>76</v>
      </c>
    </row>
    <row r="27" spans="1:12" ht="19">
      <c r="A27" s="1" t="s">
        <v>46</v>
      </c>
      <c r="B27" s="1" t="s">
        <v>47</v>
      </c>
      <c r="C27" s="1">
        <v>12</v>
      </c>
      <c r="D27" s="1">
        <v>9</v>
      </c>
      <c r="E27" s="1">
        <v>8</v>
      </c>
      <c r="F27" s="1">
        <v>0</v>
      </c>
      <c r="G27" s="2">
        <f t="shared" si="0"/>
        <v>0.66666666666666663</v>
      </c>
      <c r="H27" s="3">
        <v>45874</v>
      </c>
      <c r="I27" s="1" t="s">
        <v>13</v>
      </c>
      <c r="J27" s="1" t="s">
        <v>42</v>
      </c>
      <c r="K27" s="1" t="s">
        <v>31</v>
      </c>
      <c r="L27" s="1" t="s">
        <v>77</v>
      </c>
    </row>
    <row r="28" spans="1:12" ht="19">
      <c r="A28" s="1" t="s">
        <v>48</v>
      </c>
      <c r="B28" s="1" t="s">
        <v>49</v>
      </c>
      <c r="C28" s="1">
        <v>10</v>
      </c>
      <c r="D28" s="1">
        <v>11</v>
      </c>
      <c r="E28" s="1">
        <v>10</v>
      </c>
      <c r="F28" s="1">
        <v>2</v>
      </c>
      <c r="G28" s="2">
        <f t="shared" si="0"/>
        <v>1</v>
      </c>
      <c r="H28" s="3">
        <v>45920</v>
      </c>
      <c r="I28" s="1" t="s">
        <v>22</v>
      </c>
      <c r="J28" s="1" t="s">
        <v>14</v>
      </c>
      <c r="K28" s="1" t="s">
        <v>31</v>
      </c>
      <c r="L28" s="1" t="s">
        <v>78</v>
      </c>
    </row>
    <row r="29" spans="1:12" ht="19">
      <c r="A29" s="1" t="s">
        <v>50</v>
      </c>
      <c r="B29" s="1" t="s">
        <v>51</v>
      </c>
      <c r="C29" s="1">
        <v>14</v>
      </c>
      <c r="D29" s="1">
        <v>6</v>
      </c>
      <c r="E29" s="1">
        <v>4</v>
      </c>
      <c r="F29" s="1">
        <v>0</v>
      </c>
      <c r="G29" s="2">
        <f t="shared" si="0"/>
        <v>0.2857142857142857</v>
      </c>
      <c r="H29" s="3">
        <v>45940</v>
      </c>
      <c r="I29" s="1" t="s">
        <v>26</v>
      </c>
      <c r="J29" s="1" t="s">
        <v>18</v>
      </c>
      <c r="K29" s="1" t="s">
        <v>52</v>
      </c>
      <c r="L29" s="1" t="s">
        <v>79</v>
      </c>
    </row>
    <row r="30" spans="1:12" ht="19">
      <c r="A30" s="1" t="s">
        <v>53</v>
      </c>
      <c r="B30" s="1" t="s">
        <v>80</v>
      </c>
      <c r="C30" s="1">
        <v>12</v>
      </c>
      <c r="D30" s="1">
        <v>13</v>
      </c>
      <c r="E30" s="1">
        <v>11</v>
      </c>
      <c r="F30" s="1">
        <v>1</v>
      </c>
      <c r="G30" s="2">
        <f t="shared" si="0"/>
        <v>0.91666666666666663</v>
      </c>
      <c r="H30" s="3">
        <v>45894</v>
      </c>
      <c r="I30" s="1" t="s">
        <v>13</v>
      </c>
      <c r="J30" s="1" t="s">
        <v>14</v>
      </c>
      <c r="K30" s="1" t="s">
        <v>31</v>
      </c>
      <c r="L30" s="1" t="s">
        <v>81</v>
      </c>
    </row>
    <row r="31" spans="1:12" ht="19">
      <c r="A31" s="1" t="s">
        <v>55</v>
      </c>
      <c r="B31" s="1" t="s">
        <v>56</v>
      </c>
      <c r="C31" s="1">
        <v>10</v>
      </c>
      <c r="D31" s="1">
        <v>9</v>
      </c>
      <c r="E31" s="1">
        <v>8</v>
      </c>
      <c r="F31" s="1">
        <v>1</v>
      </c>
      <c r="G31" s="2">
        <f t="shared" si="0"/>
        <v>0.8</v>
      </c>
      <c r="H31" s="3">
        <v>45915</v>
      </c>
      <c r="I31" s="1" t="s">
        <v>13</v>
      </c>
      <c r="J31" s="1" t="s">
        <v>42</v>
      </c>
      <c r="K31" s="1" t="s">
        <v>31</v>
      </c>
      <c r="L31" s="1" t="s">
        <v>82</v>
      </c>
    </row>
    <row r="32" spans="1:12" ht="19">
      <c r="A32" s="1" t="s">
        <v>83</v>
      </c>
      <c r="B32" s="1" t="s">
        <v>84</v>
      </c>
      <c r="C32" s="1">
        <v>16</v>
      </c>
      <c r="D32" s="1">
        <v>18</v>
      </c>
      <c r="E32" s="1">
        <v>15</v>
      </c>
      <c r="F32" s="1">
        <v>3</v>
      </c>
      <c r="G32" s="2">
        <f t="shared" si="0"/>
        <v>0.9375</v>
      </c>
      <c r="H32" s="3">
        <v>45823</v>
      </c>
      <c r="I32" s="1" t="s">
        <v>13</v>
      </c>
      <c r="J32" s="1" t="s">
        <v>14</v>
      </c>
      <c r="K32" s="1" t="s">
        <v>31</v>
      </c>
      <c r="L32" s="1" t="s">
        <v>85</v>
      </c>
    </row>
    <row r="33" spans="1:12" ht="19">
      <c r="A33" s="1" t="s">
        <v>86</v>
      </c>
      <c r="B33" s="1" t="s">
        <v>87</v>
      </c>
      <c r="C33" s="1">
        <v>11</v>
      </c>
      <c r="D33" s="1">
        <v>7</v>
      </c>
      <c r="E33" s="1">
        <v>6</v>
      </c>
      <c r="F33" s="1">
        <v>0</v>
      </c>
      <c r="G33" s="2">
        <f t="shared" si="0"/>
        <v>0.54545454545454541</v>
      </c>
      <c r="H33" s="3">
        <v>45950</v>
      </c>
      <c r="I33" s="1" t="s">
        <v>13</v>
      </c>
      <c r="J33" s="1" t="s">
        <v>42</v>
      </c>
      <c r="K33" s="1" t="s">
        <v>31</v>
      </c>
      <c r="L33" s="1" t="s">
        <v>88</v>
      </c>
    </row>
    <row r="34" spans="1:12" ht="19">
      <c r="A34" s="1" t="s">
        <v>89</v>
      </c>
      <c r="B34" s="1" t="s">
        <v>90</v>
      </c>
      <c r="C34" s="1">
        <v>9</v>
      </c>
      <c r="D34" s="1">
        <v>10</v>
      </c>
      <c r="E34" s="1">
        <v>9</v>
      </c>
      <c r="F34" s="1">
        <v>1</v>
      </c>
      <c r="G34" s="2">
        <f t="shared" si="0"/>
        <v>1</v>
      </c>
      <c r="H34" s="3">
        <v>45962</v>
      </c>
      <c r="I34" s="1" t="s">
        <v>22</v>
      </c>
      <c r="J34" s="1" t="s">
        <v>14</v>
      </c>
      <c r="K34" s="1" t="s">
        <v>31</v>
      </c>
      <c r="L34" s="1" t="s">
        <v>91</v>
      </c>
    </row>
    <row r="35" spans="1:12" ht="19">
      <c r="A35" s="1" t="s">
        <v>92</v>
      </c>
      <c r="B35" s="1" t="s">
        <v>93</v>
      </c>
      <c r="C35" s="1">
        <v>12</v>
      </c>
      <c r="D35" s="1">
        <v>8</v>
      </c>
      <c r="E35" s="1">
        <v>7</v>
      </c>
      <c r="F35" s="1">
        <v>0</v>
      </c>
      <c r="G35" s="2">
        <f t="shared" si="0"/>
        <v>0.58333333333333337</v>
      </c>
      <c r="H35" s="3">
        <v>45976</v>
      </c>
      <c r="I35" s="1" t="s">
        <v>13</v>
      </c>
      <c r="J35" s="1" t="s">
        <v>42</v>
      </c>
      <c r="K35" s="1" t="s">
        <v>31</v>
      </c>
      <c r="L35" s="1" t="s">
        <v>94</v>
      </c>
    </row>
    <row r="36" spans="1:12" ht="19">
      <c r="A36" s="1" t="s">
        <v>95</v>
      </c>
      <c r="B36" s="1" t="s">
        <v>96</v>
      </c>
      <c r="C36" s="1">
        <v>13</v>
      </c>
      <c r="D36" s="1">
        <v>11</v>
      </c>
      <c r="E36" s="1">
        <v>10</v>
      </c>
      <c r="F36" s="1">
        <v>0</v>
      </c>
      <c r="G36" s="2">
        <f t="shared" si="0"/>
        <v>0.76923076923076927</v>
      </c>
      <c r="H36" s="3">
        <v>45992</v>
      </c>
      <c r="I36" s="1" t="s">
        <v>13</v>
      </c>
      <c r="J36" s="1" t="s">
        <v>42</v>
      </c>
      <c r="K36" s="1" t="s">
        <v>31</v>
      </c>
      <c r="L36" s="1" t="s">
        <v>97</v>
      </c>
    </row>
    <row r="37" spans="1:12" ht="19">
      <c r="A37" s="1" t="s">
        <v>98</v>
      </c>
      <c r="B37" s="1" t="s">
        <v>99</v>
      </c>
      <c r="C37" s="1">
        <v>10</v>
      </c>
      <c r="D37" s="1">
        <v>12</v>
      </c>
      <c r="E37" s="1">
        <v>9</v>
      </c>
      <c r="F37" s="1">
        <v>2</v>
      </c>
      <c r="G37" s="2">
        <f t="shared" si="0"/>
        <v>0.9</v>
      </c>
      <c r="H37" s="3">
        <v>45839</v>
      </c>
      <c r="I37" s="1" t="s">
        <v>13</v>
      </c>
      <c r="J37" s="1" t="s">
        <v>14</v>
      </c>
      <c r="K37" s="1" t="s">
        <v>31</v>
      </c>
      <c r="L37" s="1" t="s">
        <v>100</v>
      </c>
    </row>
    <row r="38" spans="1:12" ht="19">
      <c r="A38" s="1" t="s">
        <v>101</v>
      </c>
      <c r="B38" s="1" t="s">
        <v>102</v>
      </c>
      <c r="C38" s="1">
        <v>8</v>
      </c>
      <c r="D38" s="1">
        <v>5</v>
      </c>
      <c r="E38" s="1">
        <v>3</v>
      </c>
      <c r="F38" s="1">
        <v>0</v>
      </c>
      <c r="G38" s="2">
        <f t="shared" si="0"/>
        <v>0.375</v>
      </c>
      <c r="H38" s="3">
        <v>46032</v>
      </c>
      <c r="I38" s="1" t="s">
        <v>26</v>
      </c>
      <c r="J38" s="1" t="s">
        <v>18</v>
      </c>
      <c r="K38" s="1" t="s">
        <v>103</v>
      </c>
      <c r="L38" s="1" t="s">
        <v>104</v>
      </c>
    </row>
    <row r="39" spans="1:12" ht="19">
      <c r="A39" s="1" t="s">
        <v>105</v>
      </c>
      <c r="B39" s="1" t="s">
        <v>106</v>
      </c>
      <c r="C39" s="1">
        <v>10</v>
      </c>
      <c r="D39" s="1">
        <v>9</v>
      </c>
      <c r="E39" s="1">
        <v>8</v>
      </c>
      <c r="F39" s="1">
        <v>1</v>
      </c>
      <c r="G39" s="2">
        <f t="shared" si="0"/>
        <v>0.8</v>
      </c>
      <c r="H39" s="3">
        <v>46011</v>
      </c>
      <c r="I39" s="1" t="s">
        <v>13</v>
      </c>
      <c r="J39" s="1" t="s">
        <v>42</v>
      </c>
      <c r="K39" s="1" t="s">
        <v>31</v>
      </c>
      <c r="L39" s="1" t="s">
        <v>107</v>
      </c>
    </row>
    <row r="40" spans="1:12" ht="19">
      <c r="A40" s="1" t="s">
        <v>108</v>
      </c>
      <c r="B40" s="1" t="s">
        <v>109</v>
      </c>
      <c r="C40" s="1">
        <v>9</v>
      </c>
      <c r="D40" s="1">
        <v>10</v>
      </c>
      <c r="E40" s="1">
        <v>9</v>
      </c>
      <c r="F40" s="1">
        <v>1</v>
      </c>
      <c r="G40" s="2">
        <f t="shared" si="0"/>
        <v>1</v>
      </c>
      <c r="H40" s="3">
        <v>46054</v>
      </c>
      <c r="I40" s="1" t="s">
        <v>22</v>
      </c>
      <c r="J40" s="1" t="s">
        <v>14</v>
      </c>
      <c r="K40" s="1" t="s">
        <v>31</v>
      </c>
      <c r="L40" s="1" t="s">
        <v>110</v>
      </c>
    </row>
    <row r="41" spans="1:12" ht="19">
      <c r="A41" s="1" t="s">
        <v>111</v>
      </c>
      <c r="B41" s="1" t="s">
        <v>112</v>
      </c>
      <c r="C41" s="1">
        <v>11</v>
      </c>
      <c r="D41" s="1">
        <v>7</v>
      </c>
      <c r="E41" s="1">
        <v>6</v>
      </c>
      <c r="F41" s="1">
        <v>0</v>
      </c>
      <c r="G41" s="2">
        <f t="shared" si="0"/>
        <v>0.54545454545454541</v>
      </c>
      <c r="H41" s="3">
        <v>46082</v>
      </c>
      <c r="I41" s="1" t="s">
        <v>13</v>
      </c>
      <c r="J41" s="1" t="s">
        <v>42</v>
      </c>
      <c r="K41" s="1" t="s">
        <v>31</v>
      </c>
      <c r="L41" s="1" t="s">
        <v>113</v>
      </c>
    </row>
    <row r="42" spans="1:12" ht="19">
      <c r="A42" s="1" t="s">
        <v>114</v>
      </c>
      <c r="B42" s="1" t="s">
        <v>115</v>
      </c>
      <c r="C42" s="1">
        <v>8</v>
      </c>
      <c r="D42" s="1">
        <v>6</v>
      </c>
      <c r="E42" s="1">
        <v>4</v>
      </c>
      <c r="F42" s="1">
        <v>0</v>
      </c>
      <c r="G42" s="2">
        <f t="shared" si="0"/>
        <v>0.5</v>
      </c>
      <c r="H42" s="3">
        <v>46113</v>
      </c>
      <c r="I42" s="1" t="s">
        <v>26</v>
      </c>
      <c r="J42" s="1" t="s">
        <v>42</v>
      </c>
      <c r="K42" s="1" t="s">
        <v>31</v>
      </c>
      <c r="L42" s="1" t="s">
        <v>116</v>
      </c>
    </row>
    <row r="43" spans="1:12" ht="19">
      <c r="A43" s="1" t="s">
        <v>117</v>
      </c>
      <c r="B43" s="1" t="s">
        <v>118</v>
      </c>
      <c r="C43" s="1">
        <v>10</v>
      </c>
      <c r="D43" s="1">
        <v>11</v>
      </c>
      <c r="E43" s="1">
        <v>9</v>
      </c>
      <c r="F43" s="1">
        <v>2</v>
      </c>
      <c r="G43" s="2">
        <f t="shared" si="0"/>
        <v>0.9</v>
      </c>
      <c r="H43" s="3">
        <v>46143</v>
      </c>
      <c r="I43" s="1" t="s">
        <v>13</v>
      </c>
      <c r="J43" s="1" t="s">
        <v>14</v>
      </c>
      <c r="K43" s="1" t="s">
        <v>31</v>
      </c>
      <c r="L43" s="1" t="s">
        <v>119</v>
      </c>
    </row>
    <row r="44" spans="1:12" ht="19">
      <c r="A44" s="1" t="s">
        <v>120</v>
      </c>
      <c r="B44" s="1" t="s">
        <v>121</v>
      </c>
      <c r="C44" s="1">
        <v>7</v>
      </c>
      <c r="D44" s="1">
        <v>4</v>
      </c>
      <c r="E44" s="1">
        <v>3</v>
      </c>
      <c r="F44" s="1">
        <v>0</v>
      </c>
      <c r="G44" s="2">
        <f t="shared" si="0"/>
        <v>0.42857142857142855</v>
      </c>
      <c r="H44" s="3">
        <v>46174</v>
      </c>
      <c r="I44" s="1" t="s">
        <v>26</v>
      </c>
      <c r="J44" s="1" t="s">
        <v>18</v>
      </c>
      <c r="K44" s="1" t="s">
        <v>122</v>
      </c>
      <c r="L44" s="1" t="s">
        <v>123</v>
      </c>
    </row>
    <row r="45" spans="1:12" ht="19">
      <c r="A45" s="1" t="s">
        <v>124</v>
      </c>
      <c r="B45" s="1" t="s">
        <v>125</v>
      </c>
      <c r="C45" s="1">
        <v>8</v>
      </c>
      <c r="D45" s="1">
        <v>6</v>
      </c>
      <c r="E45" s="1">
        <v>5</v>
      </c>
      <c r="F45" s="1">
        <v>0</v>
      </c>
      <c r="G45" s="2">
        <f t="shared" si="0"/>
        <v>0.625</v>
      </c>
      <c r="H45" s="3">
        <v>46157</v>
      </c>
      <c r="I45" s="1" t="s">
        <v>13</v>
      </c>
      <c r="J45" s="1" t="s">
        <v>42</v>
      </c>
      <c r="K45" s="1" t="s">
        <v>31</v>
      </c>
      <c r="L45" s="1" t="s">
        <v>126</v>
      </c>
    </row>
    <row r="46" spans="1:12" ht="19">
      <c r="A46" s="1" t="s">
        <v>127</v>
      </c>
      <c r="B46" s="1" t="s">
        <v>128</v>
      </c>
      <c r="C46" s="1">
        <v>6</v>
      </c>
      <c r="D46" s="1">
        <v>3</v>
      </c>
      <c r="E46" s="1">
        <v>1</v>
      </c>
      <c r="F46" s="1">
        <v>0</v>
      </c>
      <c r="G46" s="2">
        <f t="shared" si="0"/>
        <v>0.16666666666666666</v>
      </c>
      <c r="H46" s="3">
        <v>46188</v>
      </c>
      <c r="I46" s="1" t="s">
        <v>26</v>
      </c>
      <c r="J46" s="1" t="s">
        <v>18</v>
      </c>
      <c r="K46" s="1" t="s">
        <v>129</v>
      </c>
      <c r="L46" s="1" t="s">
        <v>130</v>
      </c>
    </row>
    <row r="47" spans="1:12" ht="19">
      <c r="A47" s="1" t="s">
        <v>132</v>
      </c>
      <c r="B47" s="1" t="s">
        <v>133</v>
      </c>
      <c r="C47" s="1">
        <v>15</v>
      </c>
      <c r="D47" s="1">
        <v>14</v>
      </c>
      <c r="E47" s="1">
        <v>12</v>
      </c>
      <c r="F47" s="1">
        <v>1</v>
      </c>
      <c r="G47" s="2">
        <f t="shared" si="0"/>
        <v>0.8</v>
      </c>
      <c r="H47" s="3">
        <v>45717</v>
      </c>
      <c r="I47" s="1" t="s">
        <v>13</v>
      </c>
      <c r="J47" s="1" t="s">
        <v>14</v>
      </c>
      <c r="K47" s="1" t="s">
        <v>31</v>
      </c>
      <c r="L47" s="1" t="s">
        <v>134</v>
      </c>
    </row>
    <row r="48" spans="1:12" ht="19">
      <c r="A48" s="1" t="s">
        <v>135</v>
      </c>
      <c r="B48" s="1" t="s">
        <v>136</v>
      </c>
      <c r="C48" s="1">
        <v>12</v>
      </c>
      <c r="D48" s="1">
        <v>10</v>
      </c>
      <c r="E48" s="1">
        <v>9</v>
      </c>
      <c r="F48" s="1">
        <v>0</v>
      </c>
      <c r="G48" s="2">
        <f t="shared" si="0"/>
        <v>0.75</v>
      </c>
      <c r="H48" s="3">
        <v>45762</v>
      </c>
      <c r="I48" s="1" t="s">
        <v>13</v>
      </c>
      <c r="J48" s="1" t="s">
        <v>42</v>
      </c>
      <c r="K48" s="1" t="s">
        <v>31</v>
      </c>
      <c r="L48" s="1" t="s">
        <v>134</v>
      </c>
    </row>
    <row r="49" spans="1:12" ht="19">
      <c r="A49" s="1" t="s">
        <v>137</v>
      </c>
      <c r="B49" s="1" t="s">
        <v>138</v>
      </c>
      <c r="C49" s="1">
        <v>18</v>
      </c>
      <c r="D49" s="1">
        <v>20</v>
      </c>
      <c r="E49" s="1">
        <v>17</v>
      </c>
      <c r="F49" s="1">
        <v>2</v>
      </c>
      <c r="G49" s="2">
        <f t="shared" si="0"/>
        <v>0.94444444444444442</v>
      </c>
      <c r="H49" s="3">
        <v>45698</v>
      </c>
      <c r="I49" s="1" t="s">
        <v>13</v>
      </c>
      <c r="J49" s="1" t="s">
        <v>14</v>
      </c>
      <c r="K49" s="1" t="s">
        <v>139</v>
      </c>
      <c r="L49" s="1" t="s">
        <v>140</v>
      </c>
    </row>
    <row r="50" spans="1:12" ht="19">
      <c r="A50" s="1" t="s">
        <v>141</v>
      </c>
      <c r="B50" s="1" t="s">
        <v>142</v>
      </c>
      <c r="C50" s="1">
        <v>15</v>
      </c>
      <c r="D50" s="1">
        <v>13</v>
      </c>
      <c r="E50" s="1">
        <v>11</v>
      </c>
      <c r="F50" s="1">
        <v>0</v>
      </c>
      <c r="G50" s="2">
        <f t="shared" si="0"/>
        <v>0.73333333333333328</v>
      </c>
      <c r="H50" s="3">
        <v>45797</v>
      </c>
      <c r="I50" s="1" t="s">
        <v>13</v>
      </c>
      <c r="J50" s="1" t="s">
        <v>42</v>
      </c>
      <c r="K50" s="1" t="s">
        <v>31</v>
      </c>
      <c r="L50" s="1" t="s">
        <v>140</v>
      </c>
    </row>
    <row r="51" spans="1:12" ht="19">
      <c r="A51" s="1" t="s">
        <v>143</v>
      </c>
      <c r="B51" s="1" t="s">
        <v>144</v>
      </c>
      <c r="C51" s="1">
        <v>10</v>
      </c>
      <c r="D51" s="1">
        <v>12</v>
      </c>
      <c r="E51" s="1">
        <v>10</v>
      </c>
      <c r="F51" s="1">
        <v>1</v>
      </c>
      <c r="G51" s="2">
        <f t="shared" si="0"/>
        <v>1</v>
      </c>
      <c r="H51" s="3">
        <v>45809</v>
      </c>
      <c r="I51" s="1" t="s">
        <v>22</v>
      </c>
      <c r="J51" s="1" t="s">
        <v>14</v>
      </c>
      <c r="K51" s="1" t="s">
        <v>31</v>
      </c>
      <c r="L51" s="1" t="s">
        <v>145</v>
      </c>
    </row>
    <row r="52" spans="1:12" ht="19">
      <c r="A52" s="1" t="s">
        <v>146</v>
      </c>
      <c r="B52" s="1" t="s">
        <v>147</v>
      </c>
      <c r="C52" s="1">
        <v>8</v>
      </c>
      <c r="D52" s="1">
        <v>7</v>
      </c>
      <c r="E52" s="1">
        <v>6</v>
      </c>
      <c r="F52" s="1">
        <v>0</v>
      </c>
      <c r="G52" s="2">
        <f t="shared" si="0"/>
        <v>0.75</v>
      </c>
      <c r="H52" s="3">
        <v>45853</v>
      </c>
      <c r="I52" s="1" t="s">
        <v>13</v>
      </c>
      <c r="J52" s="1" t="s">
        <v>42</v>
      </c>
      <c r="K52" s="1" t="s">
        <v>31</v>
      </c>
      <c r="L52" s="1" t="s">
        <v>148</v>
      </c>
    </row>
    <row r="53" spans="1:12" ht="19">
      <c r="A53" s="1" t="s">
        <v>149</v>
      </c>
      <c r="B53" s="1" t="s">
        <v>150</v>
      </c>
      <c r="C53" s="1">
        <v>16</v>
      </c>
      <c r="D53" s="1">
        <v>15</v>
      </c>
      <c r="E53" s="1">
        <v>13</v>
      </c>
      <c r="F53" s="1">
        <v>1</v>
      </c>
      <c r="G53" s="2">
        <f t="shared" si="0"/>
        <v>0.8125</v>
      </c>
      <c r="H53" s="3">
        <v>45736</v>
      </c>
      <c r="I53" s="1" t="s">
        <v>13</v>
      </c>
      <c r="J53" s="1" t="s">
        <v>14</v>
      </c>
      <c r="K53" s="1" t="s">
        <v>31</v>
      </c>
      <c r="L53" s="1" t="s">
        <v>151</v>
      </c>
    </row>
    <row r="54" spans="1:12" ht="19">
      <c r="A54" s="1" t="s">
        <v>152</v>
      </c>
      <c r="B54" s="1" t="s">
        <v>153</v>
      </c>
      <c r="C54" s="1">
        <v>20</v>
      </c>
      <c r="D54" s="1">
        <v>18</v>
      </c>
      <c r="E54" s="1">
        <v>15</v>
      </c>
      <c r="F54" s="1">
        <v>0</v>
      </c>
      <c r="G54" s="2">
        <f t="shared" si="0"/>
        <v>0.75</v>
      </c>
      <c r="H54" s="3">
        <v>45667</v>
      </c>
      <c r="I54" s="1" t="s">
        <v>13</v>
      </c>
      <c r="J54" s="1" t="s">
        <v>18</v>
      </c>
      <c r="K54" s="1" t="s">
        <v>154</v>
      </c>
      <c r="L54" s="1" t="s">
        <v>155</v>
      </c>
    </row>
    <row r="55" spans="1:12" ht="19">
      <c r="A55" s="1" t="s">
        <v>156</v>
      </c>
      <c r="B55" s="1" t="s">
        <v>157</v>
      </c>
      <c r="C55" s="1">
        <v>22</v>
      </c>
      <c r="D55" s="1">
        <v>19</v>
      </c>
      <c r="E55" s="1">
        <v>14</v>
      </c>
      <c r="F55" s="1">
        <v>0</v>
      </c>
      <c r="G55" s="2">
        <f t="shared" si="0"/>
        <v>0.63636363636363635</v>
      </c>
      <c r="H55" s="3">
        <v>45693</v>
      </c>
      <c r="I55" s="1" t="s">
        <v>13</v>
      </c>
      <c r="J55" s="1" t="s">
        <v>18</v>
      </c>
      <c r="K55" s="1" t="s">
        <v>31</v>
      </c>
      <c r="L55" s="1" t="s">
        <v>155</v>
      </c>
    </row>
    <row r="56" spans="1:12" ht="19">
      <c r="A56" s="1" t="s">
        <v>158</v>
      </c>
      <c r="B56" s="1" t="s">
        <v>159</v>
      </c>
      <c r="C56" s="1">
        <v>14</v>
      </c>
      <c r="D56" s="1">
        <v>15</v>
      </c>
      <c r="E56" s="1">
        <v>13</v>
      </c>
      <c r="F56" s="1">
        <v>2</v>
      </c>
      <c r="G56" s="2">
        <f t="shared" si="0"/>
        <v>0.9285714285714286</v>
      </c>
      <c r="H56" s="3">
        <v>45748</v>
      </c>
      <c r="I56" s="1" t="s">
        <v>13</v>
      </c>
      <c r="J56" s="1" t="s">
        <v>14</v>
      </c>
      <c r="K56" s="1" t="s">
        <v>31</v>
      </c>
      <c r="L56" s="1" t="s">
        <v>160</v>
      </c>
    </row>
    <row r="57" spans="1:12" ht="19">
      <c r="A57" s="1" t="s">
        <v>161</v>
      </c>
      <c r="B57" s="1" t="s">
        <v>162</v>
      </c>
      <c r="C57" s="1">
        <v>12</v>
      </c>
      <c r="D57" s="1">
        <v>10</v>
      </c>
      <c r="E57" s="1">
        <v>8</v>
      </c>
      <c r="F57" s="1">
        <v>0</v>
      </c>
      <c r="G57" s="2">
        <f t="shared" si="0"/>
        <v>0.66666666666666663</v>
      </c>
      <c r="H57" s="3">
        <v>45818</v>
      </c>
      <c r="I57" s="1" t="s">
        <v>13</v>
      </c>
      <c r="J57" s="1" t="s">
        <v>42</v>
      </c>
      <c r="K57" s="1" t="s">
        <v>31</v>
      </c>
      <c r="L57" s="1" t="s">
        <v>163</v>
      </c>
    </row>
    <row r="58" spans="1:12" ht="19">
      <c r="A58" s="1" t="s">
        <v>164</v>
      </c>
      <c r="B58" s="1" t="s">
        <v>165</v>
      </c>
      <c r="C58" s="1">
        <v>15</v>
      </c>
      <c r="D58" s="1">
        <v>14</v>
      </c>
      <c r="E58" s="1">
        <v>12</v>
      </c>
      <c r="F58" s="1">
        <v>1</v>
      </c>
      <c r="G58" s="2">
        <f t="shared" si="0"/>
        <v>0.8</v>
      </c>
      <c r="H58" s="3">
        <v>45782</v>
      </c>
      <c r="I58" s="1" t="s">
        <v>13</v>
      </c>
      <c r="J58" s="1" t="s">
        <v>42</v>
      </c>
      <c r="K58" s="1" t="s">
        <v>31</v>
      </c>
      <c r="L58" s="1" t="s">
        <v>166</v>
      </c>
    </row>
    <row r="59" spans="1:12" ht="19">
      <c r="A59" s="1" t="s">
        <v>167</v>
      </c>
      <c r="B59" s="1" t="s">
        <v>168</v>
      </c>
      <c r="C59" s="1">
        <v>18</v>
      </c>
      <c r="D59" s="1">
        <v>16</v>
      </c>
      <c r="E59" s="1">
        <v>14</v>
      </c>
      <c r="F59" s="1">
        <v>0</v>
      </c>
      <c r="G59" s="2">
        <f t="shared" si="0"/>
        <v>0.77777777777777779</v>
      </c>
      <c r="H59" s="3">
        <v>45731</v>
      </c>
      <c r="I59" s="1" t="s">
        <v>13</v>
      </c>
      <c r="J59" s="1" t="s">
        <v>14</v>
      </c>
      <c r="K59" s="1" t="s">
        <v>31</v>
      </c>
      <c r="L59" s="1" t="s">
        <v>169</v>
      </c>
    </row>
    <row r="60" spans="1:12" ht="19">
      <c r="A60" s="1" t="s">
        <v>170</v>
      </c>
      <c r="B60" s="1" t="s">
        <v>171</v>
      </c>
      <c r="C60" s="1">
        <v>10</v>
      </c>
      <c r="D60" s="1">
        <v>8</v>
      </c>
      <c r="E60" s="1">
        <v>5</v>
      </c>
      <c r="F60" s="1">
        <v>0</v>
      </c>
      <c r="G60" s="2">
        <f t="shared" si="0"/>
        <v>0.5</v>
      </c>
      <c r="H60" s="3">
        <v>45870</v>
      </c>
      <c r="I60" s="1" t="s">
        <v>26</v>
      </c>
      <c r="J60" s="1" t="s">
        <v>18</v>
      </c>
      <c r="K60" s="1" t="s">
        <v>172</v>
      </c>
      <c r="L60" s="1" t="s">
        <v>173</v>
      </c>
    </row>
    <row r="61" spans="1:12" ht="19">
      <c r="A61" s="1" t="s">
        <v>174</v>
      </c>
      <c r="B61" s="1" t="s">
        <v>175</v>
      </c>
      <c r="C61" s="1">
        <v>10</v>
      </c>
      <c r="D61" s="1">
        <v>9</v>
      </c>
      <c r="E61" s="1">
        <v>8</v>
      </c>
      <c r="F61" s="1">
        <v>1</v>
      </c>
      <c r="G61" s="2">
        <f t="shared" si="0"/>
        <v>0.8</v>
      </c>
      <c r="H61" s="3">
        <v>45901</v>
      </c>
      <c r="I61" s="1" t="s">
        <v>13</v>
      </c>
      <c r="J61" s="1" t="s">
        <v>42</v>
      </c>
      <c r="K61" s="1" t="s">
        <v>31</v>
      </c>
      <c r="L61" s="1" t="s">
        <v>176</v>
      </c>
    </row>
    <row r="62" spans="1:12" ht="19">
      <c r="A62" s="1" t="s">
        <v>177</v>
      </c>
      <c r="B62" s="1" t="s">
        <v>178</v>
      </c>
      <c r="C62" s="1">
        <v>12</v>
      </c>
      <c r="D62" s="1">
        <v>10</v>
      </c>
      <c r="E62" s="1">
        <v>9</v>
      </c>
      <c r="F62" s="1">
        <v>0</v>
      </c>
      <c r="G62" s="2">
        <f t="shared" si="0"/>
        <v>0.75</v>
      </c>
      <c r="H62" s="3">
        <v>45931</v>
      </c>
      <c r="I62" s="1" t="s">
        <v>13</v>
      </c>
      <c r="J62" s="1" t="s">
        <v>42</v>
      </c>
      <c r="K62" s="1" t="s">
        <v>31</v>
      </c>
      <c r="L62" s="1" t="s">
        <v>179</v>
      </c>
    </row>
    <row r="63" spans="1:12" ht="19">
      <c r="A63" s="1" t="s">
        <v>180</v>
      </c>
      <c r="B63" s="1" t="s">
        <v>181</v>
      </c>
      <c r="C63" s="1">
        <v>14</v>
      </c>
      <c r="D63" s="1">
        <v>11</v>
      </c>
      <c r="E63" s="1">
        <v>8</v>
      </c>
      <c r="F63" s="1">
        <v>0</v>
      </c>
      <c r="G63" s="2">
        <f t="shared" si="0"/>
        <v>0.5714285714285714</v>
      </c>
      <c r="H63" s="3">
        <v>45962</v>
      </c>
      <c r="I63" s="1" t="s">
        <v>13</v>
      </c>
      <c r="J63" s="1" t="s">
        <v>18</v>
      </c>
      <c r="K63" s="1" t="s">
        <v>31</v>
      </c>
      <c r="L63" s="1" t="s">
        <v>182</v>
      </c>
    </row>
    <row r="64" spans="1:12" ht="19">
      <c r="A64" s="1" t="s">
        <v>183</v>
      </c>
      <c r="B64" s="1" t="s">
        <v>184</v>
      </c>
      <c r="C64" s="1">
        <v>20</v>
      </c>
      <c r="D64" s="1">
        <v>12</v>
      </c>
      <c r="E64" s="1">
        <v>6</v>
      </c>
      <c r="F64" s="1">
        <v>0</v>
      </c>
      <c r="G64" s="2">
        <f t="shared" si="0"/>
        <v>0.3</v>
      </c>
      <c r="H64" s="3">
        <v>45992</v>
      </c>
      <c r="I64" s="1" t="s">
        <v>26</v>
      </c>
      <c r="J64" s="1" t="s">
        <v>27</v>
      </c>
      <c r="K64" s="1" t="s">
        <v>185</v>
      </c>
      <c r="L64" s="1" t="s">
        <v>186</v>
      </c>
    </row>
    <row r="65" spans="1:12" ht="19">
      <c r="A65" s="1" t="s">
        <v>187</v>
      </c>
      <c r="B65" s="1" t="s">
        <v>188</v>
      </c>
      <c r="C65" s="1">
        <v>12</v>
      </c>
      <c r="D65" s="1">
        <v>11</v>
      </c>
      <c r="E65" s="1">
        <v>10</v>
      </c>
      <c r="F65" s="1">
        <v>1</v>
      </c>
      <c r="G65" s="2">
        <f t="shared" si="0"/>
        <v>0.83333333333333337</v>
      </c>
      <c r="H65" s="3">
        <v>46037</v>
      </c>
      <c r="I65" s="1" t="s">
        <v>13</v>
      </c>
      <c r="J65" s="1" t="s">
        <v>14</v>
      </c>
      <c r="K65" s="1" t="s">
        <v>31</v>
      </c>
      <c r="L65" s="1" t="s">
        <v>189</v>
      </c>
    </row>
    <row r="66" spans="1:12" ht="19">
      <c r="A66" s="1" t="s">
        <v>190</v>
      </c>
      <c r="B66" s="1" t="s">
        <v>191</v>
      </c>
      <c r="C66" s="1">
        <v>8</v>
      </c>
      <c r="D66" s="1">
        <v>8</v>
      </c>
      <c r="E66" s="1">
        <v>8</v>
      </c>
      <c r="F66" s="1">
        <v>0</v>
      </c>
      <c r="G66" s="2">
        <f t="shared" si="0"/>
        <v>1</v>
      </c>
      <c r="H66" s="3">
        <v>46054</v>
      </c>
      <c r="I66" s="1" t="s">
        <v>22</v>
      </c>
      <c r="J66" s="1" t="s">
        <v>14</v>
      </c>
      <c r="K66" s="1" t="s">
        <v>31</v>
      </c>
      <c r="L66" s="1" t="s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Tiguan Zhang</dc:creator>
  <cp:lastModifiedBy>Tiguan Zhang</cp:lastModifiedBy>
  <dcterms:created xsi:type="dcterms:W3CDTF">2026-07-13T12:17:39Z</dcterms:created>
  <dcterms:modified xsi:type="dcterms:W3CDTF">2026-07-14T08:09:48Z</dcterms:modified>
</cp:coreProperties>
</file>